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hub\Shock-test-Data-Aquisition-and-systems\PCBDropTestSystem\"/>
    </mc:Choice>
  </mc:AlternateContent>
  <xr:revisionPtr revIDLastSave="0" documentId="13_ncr:1_{4763F0EB-2897-49DD-82D5-7AF8BB160395}" xr6:coauthVersionLast="47" xr6:coauthVersionMax="47" xr10:uidLastSave="{00000000-0000-0000-0000-000000000000}"/>
  <bookViews>
    <workbookView xWindow="-120" yWindow="-120" windowWidth="29040" windowHeight="15840" xr2:uid="{3F872AE6-6710-4898-8598-9832416C0361}"/>
  </bookViews>
  <sheets>
    <sheet name="Electronics BOM" sheetId="1" r:id="rId1"/>
    <sheet name="Fixture BO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25" i="1" l="1"/>
</calcChain>
</file>

<file path=xl/sharedStrings.xml><?xml version="1.0" encoding="utf-8"?>
<sst xmlns="http://schemas.openxmlformats.org/spreadsheetml/2006/main" count="43" uniqueCount="43">
  <si>
    <t>Component spec / part number</t>
  </si>
  <si>
    <t>Qty</t>
  </si>
  <si>
    <t>Unit cost (USD)</t>
  </si>
  <si>
    <t>Net cost (USD)</t>
  </si>
  <si>
    <t>Vendor 1</t>
  </si>
  <si>
    <t>Vendor 2</t>
  </si>
  <si>
    <t>Vendor 3</t>
  </si>
  <si>
    <t>Total</t>
  </si>
  <si>
    <t>Component</t>
  </si>
  <si>
    <t xml:space="preserve">Qty per sensor </t>
  </si>
  <si>
    <t>Unit price (USD)</t>
  </si>
  <si>
    <t>Net price (USD)</t>
  </si>
  <si>
    <t>vendor 1</t>
  </si>
  <si>
    <t>vendor 2</t>
  </si>
  <si>
    <t>vendor 3</t>
  </si>
  <si>
    <t>PVC union</t>
  </si>
  <si>
    <t>https://www.grainger.com/product/22FL17?RIID=51819294775&amp;GID=729415832</t>
  </si>
  <si>
    <t>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</t>
  </si>
  <si>
    <t>Schedule 40 clear PVC pipe</t>
  </si>
  <si>
    <t>10 inches</t>
  </si>
  <si>
    <t>https://www.grainger.com/product/1AAZ8?gucid=N:N:PS:Paid:GGL:CSM-2295:Y8ZQJW:20500801:APZ_1&amp;gclsrc=aw.ds&amp;gad_source=1&amp;gad_campaignid=21375667808&amp;gclid=EAIaIQobChMI5eGkh7jsjQMV0kf_AR21aSMcEAQYASABEgKqH_D_BwE</t>
  </si>
  <si>
    <t>Schedule 40 socket cap</t>
  </si>
  <si>
    <t>https://www.grainger.com/product/22FJ37?RIID=51819294775&amp;GID=729415832</t>
  </si>
  <si>
    <t>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</t>
  </si>
  <si>
    <t>https://www.homedepot.com/pep/Charlotte-Pipe-2-in-OD-PVC-Test-Cap-Fitting-PVC-00132-0800HD/203947220?source=shoppingads&amp;locale=en-US&amp;pla&amp;mtc=SHOPPING-BF-CDP-GGL-D26P-026_001_PIPE_FITTING-NA-NA-NA-PMAX-NA-NA-NA-NA-NBR-NA-NA-NEW-_PMAXTEST&amp;cm_mmc=SHOPPING-BF-CDP-GGL-D26P-026_001_PIPE_FITTING-NA-NA-NA-PMAX-NA-NA-NA-NA-NBR-NA-NA-NEW-_PMAXTEST-17697557984--&amp;gad_source=1&amp;gad_campaignid=17687574624&amp;gbraid=0AAAAADq61Ufi2up4If7IM8ksnlizOw_kh&amp;gclid=Cj0KCQjwmK_CBhCEARIsAMKwcD49Pa9Dm1h-kkEkDeErgMj2io-t9JfRe__p697sfPoJ_qcdwpJCxWMaAjS6EALw_wcB&amp;gclsrc=aw.ds</t>
  </si>
  <si>
    <t>1 pack</t>
  </si>
  <si>
    <t>https://www.grainger.com/product/25F529?gucid=N:N:PS:Paid:GGL:CSM-2295:7Q8R4W:20500801:APZ_1&amp;gad_source=1&amp;gad_campaignid=21369464154&amp;gclid=CjwKCAjwr5_CBhBlEiwAzfwYuFQJQF4xih2fA0vbI8pFLV_pGSsb1GvVdYQqLORI5ApakqFVLNHuxxoCPr8QAvD_BwE&amp;gclsrc=aw.ds</t>
  </si>
  <si>
    <t>M3 standoffs 6mm</t>
  </si>
  <si>
    <t>https://www.digikey.com/en/products/detail/w%C3%BCrth-elektronik/971060365/9488747</t>
  </si>
  <si>
    <t>M3 standoofs 8mm</t>
  </si>
  <si>
    <t>https://www.digikey.com/en/products/detail/w%C3%BCrth-elektronik/971080365/9488753</t>
  </si>
  <si>
    <t>M3 nylon hex nut</t>
  </si>
  <si>
    <t>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</t>
  </si>
  <si>
    <t>https://www.ebay.com/itm/365353922077?_skw=JANCHUN+Crystal+Clear+Epoxy+Resin+Kit+16oz%2C+Bubble-Free%2C+Anti-Yellowing%2C+Self+Leveling+Easy+Mix+1%3A1+Coating+and+Casting+Resin+for+Table+Top%2C+Molds%2C+Tumbler+Crafts%2C+Painting%2C+Jewelry%2C+DIY+Gifts&amp;itmmeta=01JZNA1PV76QEB7T5CVVGGADC6&amp;hash=item5510ca6e1d:g:UssAAOSwdp1nuvJj&amp;itmprp=enc%3AAQAKAAABgFkggFvd1GGDu0w3yXCmi1dHVQECfZTQB1WOP3QavZKz3SZQaYWwayfzVONKWvJ1jTnWdp6Xn19hQPm%2F%2BIFh7%2FireGFZKvn%2Bz28SoA2p9BeKSLHdyptx8Gh75ZA491OVFXEqapZjTDCx8SMJXCQJnWdlr5fQ1zqrHkusFQ%2Buv%2FJnt06mOMyh%2BviSKX3DDm7Gyz37g0ZdIsjfvGXoe%2BsabKoEN8pRXVfLun7J3fE82s4JbNVFIExKNnQla9gLOX4xDUpcaQU8Q1tbB1od47lTYE6z94boiTjh0scTrsdKPuwgWuGRDXo8xDh%2FsaNECxINipzL%2BQ8EsLcRfGKVmLzAwdtyDTEiFrZ3byFR7MsI2ZvsuQ9vRzdnM4OQyFv9XyKH9nkmmOxOwX3svnsF74v1aHluNr6Wt%2FzmUT4S9TCF5OlCsKBipMjcnUWovCgrcr0fhCT2jSZe%2Frv4TV7ZtdwJuH0%2FY2dXd1iXz72Wxu7FHj%2FySacqREnifJSVZ3IRFUHMAA%3D%3D%7Ctkp%3ABk9SR-Tthqr9ZQ</t>
  </si>
  <si>
    <t>2 part clear epoxy</t>
  </si>
  <si>
    <t>https://www.grainger.com/product/PC-PRODUCTS-Epoxy-Adhesive-PC-11-4AUV9?opr=ODOH&amp;analytics=FM:Order%20History</t>
  </si>
  <si>
    <t>https://www.ebay.com/itm/295005028017</t>
  </si>
  <si>
    <t>https://www.ebay.com/itm/326491279997</t>
  </si>
  <si>
    <t>https://www.grainger.com/product/Hex-Nut-M3-0-50-Thread-4AGJ9?opr=ODOH</t>
  </si>
  <si>
    <t>Reference</t>
  </si>
  <si>
    <t>Table height sensor</t>
  </si>
  <si>
    <t>ASSY, OTC2, SNSR, H-ACCEL, 6’COIL</t>
  </si>
  <si>
    <t>PPT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</si>
</sst>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8" fillId="0" borderId="10" xfId="42" applyBorder="1" applyAlignment="1">
      <alignment wrapText="1"/>
    </xf>
    <xf numFmtId="0" fontId="20" fillId="0" borderId="10" xfId="42" applyFont="1" applyFill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42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16" fillId="34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18" fillId="0" borderId="0" xfId="42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35" borderId="10" xfId="0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8" fillId="0" borderId="0" xfId="42"/>
    <xf numFmtId="0" fontId="0" fillId="0" borderId="10" xfId="0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%C3%BCrth-elektronik/971080365/9488753" TargetMode="External"/><Relationship Id="rId13" Type="http://schemas.openxmlformats.org/officeDocument/2006/relationships/hyperlink" Target="https://www.grainger.com/product/Hex-Nut-M3-0-50-Thread-4AGJ9?opr=ODOH" TargetMode="External"/><Relationship Id="rId3" Type="http://schemas.openxmlformats.org/officeDocument/2006/relationships/hyperlink" Target="https://www.grainger.com/product/22FJ37?RIID=51819294775&amp;GID=729415832" TargetMode="External"/><Relationship Id="rId7" Type="http://schemas.openxmlformats.org/officeDocument/2006/relationships/hyperlink" Target="https://www.digikey.com/en/products/detail/w%C3%BCrth-elektronik/971060365/9488747" TargetMode="External"/><Relationship Id="rId12" Type="http://schemas.openxmlformats.org/officeDocument/2006/relationships/hyperlink" Target="https://www.ebay.com/itm/326491279997" TargetMode="External"/><Relationship Id="rId2" Type="http://schemas.openxmlformats.org/officeDocument/2006/relationships/hyperlink" Target="https://www.grainger.com/product/22FL17?RIID=51819294775&amp;GID=729415832" TargetMode="External"/><Relationship Id="rId1" Type="http://schemas.openxmlformats.org/officeDocument/2006/relationships/hyperlink" Target="https://www.grainger.com/product/25F529?gucid=N:N:PS:Paid:GGL:CSM-2295:7Q8R4W:20500801:APZ_1&amp;gad_source=1&amp;gad_campaignid=21369464154&amp;gclid=CjwKCAjwr5_CBhBlEiwAzfwYuFQJQF4xih2fA0vbI8pFLV_pGSsb1GvVdYQqLORI5ApakqFVLNHuxxoCPr8QAvD_BwE&amp;gclsrc=aw.ds" TargetMode="External"/><Relationship Id="rId6" Type="http://schemas.openxmlformats.org/officeDocument/2006/relationships/hyperlink" Target="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" TargetMode="External"/><Relationship Id="rId11" Type="http://schemas.openxmlformats.org/officeDocument/2006/relationships/hyperlink" Target="https://www.ebay.com/itm/295005028017" TargetMode="External"/><Relationship Id="rId5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10" Type="http://schemas.openxmlformats.org/officeDocument/2006/relationships/hyperlink" Target="https://www.grainger.com/product/PC-PRODUCTS-Epoxy-Adhesive-PC-11-4AUV9?opr=ODOH&amp;analytics=FM:Order%20History" TargetMode="External"/><Relationship Id="rId4" Type="http://schemas.openxmlformats.org/officeDocument/2006/relationships/hyperlink" Target="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" TargetMode="External"/><Relationship Id="rId9" Type="http://schemas.openxmlformats.org/officeDocument/2006/relationships/hyperlink" Target="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72E9-9057-43B3-9849-7848ED564DB8}">
  <dimension ref="A1:H30"/>
  <sheetViews>
    <sheetView tabSelected="1" workbookViewId="0">
      <selection activeCell="F32" sqref="F32"/>
    </sheetView>
  </sheetViews>
  <sheetFormatPr defaultRowHeight="15" x14ac:dyDescent="0.25"/>
  <cols>
    <col min="1" max="1" width="18.42578125" bestFit="1" customWidth="1"/>
    <col min="2" max="2" width="61.85546875" style="2" customWidth="1"/>
    <col min="3" max="3" width="7.85546875" style="1" customWidth="1"/>
    <col min="4" max="4" width="15.140625" customWidth="1"/>
    <col min="5" max="5" width="15.85546875" customWidth="1"/>
    <col min="6" max="6" width="86" customWidth="1"/>
    <col min="7" max="8" width="46.5703125" customWidth="1"/>
  </cols>
  <sheetData>
    <row r="1" spans="1:8" x14ac:dyDescent="0.25">
      <c r="A1" s="3" t="s">
        <v>39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</row>
    <row r="2" spans="1:8" ht="15" customHeight="1" x14ac:dyDescent="0.25">
      <c r="A2" s="8" t="s">
        <v>40</v>
      </c>
      <c r="B2" s="6" t="s">
        <v>41</v>
      </c>
      <c r="C2" s="8">
        <v>1</v>
      </c>
      <c r="D2" s="8">
        <v>504</v>
      </c>
      <c r="E2" s="8"/>
      <c r="F2" s="27" t="s">
        <v>42</v>
      </c>
      <c r="G2" s="10"/>
      <c r="H2" s="10"/>
    </row>
    <row r="3" spans="1:8" ht="15" customHeight="1" x14ac:dyDescent="0.25">
      <c r="A3" s="8"/>
      <c r="B3" s="7"/>
      <c r="C3" s="8"/>
      <c r="D3" s="8"/>
      <c r="E3" s="8"/>
      <c r="F3" s="8"/>
      <c r="G3" s="10"/>
      <c r="H3" s="10"/>
    </row>
    <row r="4" spans="1:8" ht="15" customHeight="1" x14ac:dyDescent="0.25">
      <c r="A4" s="8"/>
      <c r="B4" s="9"/>
      <c r="C4" s="8"/>
      <c r="D4" s="8"/>
      <c r="E4" s="8"/>
      <c r="F4" s="8"/>
      <c r="G4" s="10"/>
      <c r="H4" s="10"/>
    </row>
    <row r="5" spans="1:8" ht="15" customHeight="1" x14ac:dyDescent="0.25">
      <c r="A5" s="8"/>
      <c r="B5" s="7"/>
      <c r="C5" s="8"/>
      <c r="D5" s="8"/>
      <c r="E5" s="8"/>
      <c r="F5" s="8"/>
      <c r="G5" s="10"/>
      <c r="H5" s="10"/>
    </row>
    <row r="6" spans="1:8" ht="15" customHeight="1" x14ac:dyDescent="0.25">
      <c r="A6" s="8"/>
      <c r="B6" s="7"/>
      <c r="C6" s="8"/>
      <c r="D6" s="8"/>
      <c r="E6" s="8"/>
      <c r="F6" s="10"/>
      <c r="G6" s="10"/>
      <c r="H6" s="10"/>
    </row>
    <row r="7" spans="1:8" ht="15" customHeight="1" x14ac:dyDescent="0.25">
      <c r="A7" s="8"/>
      <c r="B7" s="6"/>
      <c r="C7" s="8"/>
      <c r="D7" s="8"/>
      <c r="E7" s="8"/>
      <c r="F7" s="10"/>
      <c r="G7" s="10"/>
      <c r="H7" s="10"/>
    </row>
    <row r="8" spans="1:8" ht="15" customHeight="1" x14ac:dyDescent="0.25">
      <c r="A8" s="8"/>
      <c r="B8" s="7"/>
      <c r="C8" s="8"/>
      <c r="D8" s="8"/>
      <c r="E8" s="8"/>
      <c r="F8" s="10"/>
      <c r="G8" s="10"/>
      <c r="H8" s="10"/>
    </row>
    <row r="9" spans="1:8" ht="15" customHeight="1" x14ac:dyDescent="0.25">
      <c r="A9" s="8"/>
      <c r="B9" s="7"/>
      <c r="C9" s="8"/>
      <c r="D9" s="8"/>
      <c r="E9" s="8"/>
      <c r="F9" s="10"/>
      <c r="G9" s="10"/>
      <c r="H9" s="10"/>
    </row>
    <row r="10" spans="1:8" ht="15" customHeight="1" x14ac:dyDescent="0.25">
      <c r="A10" s="8"/>
      <c r="B10" s="7"/>
      <c r="C10" s="8"/>
      <c r="D10" s="8"/>
      <c r="E10" s="8"/>
      <c r="F10" s="10"/>
      <c r="G10" s="10"/>
      <c r="H10" s="10"/>
    </row>
    <row r="11" spans="1:8" ht="15" customHeight="1" x14ac:dyDescent="0.25">
      <c r="A11" s="8"/>
      <c r="B11" s="7"/>
      <c r="C11" s="8"/>
      <c r="D11" s="8"/>
      <c r="E11" s="8"/>
      <c r="F11" s="10"/>
      <c r="G11" s="10"/>
      <c r="H11" s="10"/>
    </row>
    <row r="12" spans="1:8" ht="15" customHeight="1" x14ac:dyDescent="0.25">
      <c r="A12" s="8"/>
      <c r="B12" s="6"/>
      <c r="C12" s="8"/>
      <c r="D12" s="8"/>
      <c r="E12" s="8"/>
      <c r="F12" s="10"/>
      <c r="G12" s="10"/>
      <c r="H12" s="10"/>
    </row>
    <row r="13" spans="1:8" ht="15" customHeight="1" x14ac:dyDescent="0.25">
      <c r="A13" s="8"/>
      <c r="B13" s="7"/>
      <c r="C13" s="8"/>
      <c r="D13" s="8"/>
      <c r="E13" s="8"/>
      <c r="F13" s="10"/>
      <c r="G13" s="10"/>
      <c r="H13" s="10"/>
    </row>
    <row r="14" spans="1:8" ht="15" customHeight="1" x14ac:dyDescent="0.25">
      <c r="A14" s="8"/>
      <c r="B14" s="7"/>
      <c r="C14" s="8"/>
      <c r="D14" s="8"/>
      <c r="E14" s="8"/>
      <c r="F14" s="10"/>
      <c r="G14" s="10"/>
      <c r="H14" s="10"/>
    </row>
    <row r="15" spans="1:8" ht="15" customHeight="1" x14ac:dyDescent="0.25">
      <c r="A15" s="8"/>
      <c r="B15" s="7"/>
      <c r="C15" s="8"/>
      <c r="D15" s="8"/>
      <c r="E15" s="8"/>
      <c r="F15" s="10"/>
      <c r="G15" s="10"/>
      <c r="H15" s="10"/>
    </row>
    <row r="16" spans="1:8" ht="15" customHeight="1" x14ac:dyDescent="0.25">
      <c r="A16" s="8"/>
      <c r="B16" s="7"/>
      <c r="C16" s="8"/>
      <c r="D16" s="8"/>
      <c r="E16" s="8"/>
      <c r="F16" s="10"/>
      <c r="G16" s="10"/>
      <c r="H16" s="10"/>
    </row>
    <row r="17" spans="1:8" ht="15" customHeight="1" x14ac:dyDescent="0.25">
      <c r="A17" s="8"/>
      <c r="B17" s="7"/>
      <c r="C17" s="8"/>
      <c r="D17" s="8"/>
      <c r="E17" s="8"/>
      <c r="F17" s="10"/>
      <c r="G17" s="10"/>
      <c r="H17" s="10"/>
    </row>
    <row r="18" spans="1:8" ht="15" customHeight="1" x14ac:dyDescent="0.25">
      <c r="A18" s="8"/>
      <c r="B18" s="7"/>
      <c r="C18" s="8"/>
      <c r="D18" s="8"/>
      <c r="E18" s="8"/>
      <c r="F18" s="10"/>
      <c r="G18" s="10"/>
      <c r="H18" s="10"/>
    </row>
    <row r="19" spans="1:8" ht="15" customHeight="1" x14ac:dyDescent="0.25">
      <c r="A19" s="8"/>
      <c r="B19" s="7"/>
      <c r="C19" s="8"/>
      <c r="D19" s="8"/>
      <c r="E19" s="8"/>
      <c r="F19" s="10"/>
      <c r="G19" s="10"/>
      <c r="H19" s="10"/>
    </row>
    <row r="20" spans="1:8" ht="15" customHeight="1" x14ac:dyDescent="0.25">
      <c r="A20" s="8"/>
      <c r="B20" s="7"/>
      <c r="C20" s="8"/>
      <c r="D20" s="8"/>
      <c r="E20" s="8"/>
      <c r="F20" s="10"/>
      <c r="G20" s="11"/>
    </row>
    <row r="21" spans="1:8" ht="15" customHeight="1" x14ac:dyDescent="0.25">
      <c r="A21" s="8"/>
      <c r="B21" s="7"/>
      <c r="C21" s="8"/>
      <c r="D21" s="8"/>
      <c r="E21" s="8"/>
      <c r="F21" s="10"/>
      <c r="G21" s="11"/>
      <c r="H21" s="11"/>
    </row>
    <row r="22" spans="1:8" ht="15" customHeight="1" x14ac:dyDescent="0.25">
      <c r="A22" s="8"/>
      <c r="B22" s="7"/>
      <c r="C22" s="8"/>
      <c r="D22" s="8"/>
      <c r="E22" s="8"/>
      <c r="F22" s="26"/>
      <c r="G22" s="10"/>
      <c r="H22" s="10"/>
    </row>
    <row r="23" spans="1:8" ht="15" customHeight="1" x14ac:dyDescent="0.25">
      <c r="A23" s="8"/>
      <c r="B23" s="7"/>
      <c r="C23" s="8"/>
      <c r="D23" s="8"/>
      <c r="E23" s="8"/>
      <c r="F23" s="10"/>
      <c r="G23" s="10"/>
      <c r="H23" s="10"/>
    </row>
    <row r="24" spans="1:8" ht="15" customHeight="1" x14ac:dyDescent="0.25">
      <c r="A24" s="8"/>
      <c r="B24" s="7"/>
      <c r="C24" s="8"/>
      <c r="D24" s="8"/>
      <c r="E24" s="8"/>
      <c r="F24" s="26"/>
      <c r="G24" s="10"/>
      <c r="H24" s="10"/>
    </row>
    <row r="25" spans="1:8" ht="15" customHeight="1" x14ac:dyDescent="0.25">
      <c r="A25" s="12"/>
      <c r="C25" s="9"/>
      <c r="D25" s="13" t="s">
        <v>7</v>
      </c>
      <c r="E25" s="14">
        <f>SUM(E3:E24)</f>
        <v>0</v>
      </c>
      <c r="F25" s="15"/>
      <c r="G25" s="12"/>
      <c r="H25" s="12"/>
    </row>
    <row r="30" spans="1:8" x14ac:dyDescent="0.25">
      <c r="F30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5CFC-606A-4EB1-BF18-3BEFDFC7363F}">
  <dimension ref="A1:G9"/>
  <sheetViews>
    <sheetView topLeftCell="A6" workbookViewId="0">
      <selection activeCell="F7" sqref="F7"/>
    </sheetView>
  </sheetViews>
  <sheetFormatPr defaultColWidth="8.7109375" defaultRowHeight="15" x14ac:dyDescent="0.25"/>
  <cols>
    <col min="1" max="1" width="35.42578125" style="21" customWidth="1"/>
    <col min="2" max="2" width="22.85546875" style="22" customWidth="1"/>
    <col min="3" max="4" width="18.85546875" style="18" customWidth="1"/>
    <col min="5" max="5" width="65.42578125" style="18" customWidth="1"/>
    <col min="6" max="7" width="58" style="18" customWidth="1"/>
    <col min="8" max="16384" width="8.7109375" style="18"/>
  </cols>
  <sheetData>
    <row r="1" spans="1:7" x14ac:dyDescent="0.25">
      <c r="A1" s="16" t="s">
        <v>8</v>
      </c>
      <c r="B1" s="16" t="s">
        <v>9</v>
      </c>
      <c r="C1" s="16" t="s">
        <v>10</v>
      </c>
      <c r="D1" s="17" t="s">
        <v>11</v>
      </c>
      <c r="E1" s="17" t="s">
        <v>12</v>
      </c>
      <c r="F1" s="17" t="s">
        <v>13</v>
      </c>
      <c r="G1" s="17" t="s">
        <v>14</v>
      </c>
    </row>
    <row r="2" spans="1:7" ht="240" x14ac:dyDescent="0.25">
      <c r="A2" s="8" t="s">
        <v>15</v>
      </c>
      <c r="B2" s="19">
        <v>1</v>
      </c>
      <c r="C2" s="23">
        <v>19.559999999999999</v>
      </c>
      <c r="D2" s="23">
        <v>19.559999999999999</v>
      </c>
      <c r="E2" s="5" t="s">
        <v>16</v>
      </c>
      <c r="F2" s="5" t="s">
        <v>17</v>
      </c>
      <c r="G2" s="5"/>
    </row>
    <row r="3" spans="1:7" ht="99.95" customHeight="1" x14ac:dyDescent="0.25">
      <c r="A3" s="8" t="s">
        <v>18</v>
      </c>
      <c r="B3" s="19" t="s">
        <v>19</v>
      </c>
      <c r="C3" s="19">
        <v>69.69</v>
      </c>
      <c r="D3" s="19">
        <v>7.26</v>
      </c>
      <c r="E3" s="5" t="s">
        <v>20</v>
      </c>
      <c r="F3" s="5"/>
      <c r="G3" s="5"/>
    </row>
    <row r="4" spans="1:7" ht="159" customHeight="1" x14ac:dyDescent="0.25">
      <c r="A4" s="19" t="s">
        <v>21</v>
      </c>
      <c r="B4" s="19">
        <v>1</v>
      </c>
      <c r="C4" s="23">
        <v>1.47</v>
      </c>
      <c r="D4" s="23">
        <v>1.47</v>
      </c>
      <c r="E4" s="5" t="s">
        <v>22</v>
      </c>
      <c r="F4" s="5" t="s">
        <v>23</v>
      </c>
      <c r="G4" s="5" t="s">
        <v>24</v>
      </c>
    </row>
    <row r="5" spans="1:7" ht="159" customHeight="1" x14ac:dyDescent="0.25">
      <c r="A5" s="19" t="s">
        <v>29</v>
      </c>
      <c r="B5" s="19">
        <v>12</v>
      </c>
      <c r="C5" s="23">
        <v>1.1299999999999999</v>
      </c>
      <c r="D5" s="23">
        <v>13.56</v>
      </c>
      <c r="E5" s="5" t="s">
        <v>30</v>
      </c>
      <c r="F5" s="5" t="s">
        <v>37</v>
      </c>
      <c r="G5" s="5"/>
    </row>
    <row r="6" spans="1:7" ht="159" customHeight="1" x14ac:dyDescent="0.25">
      <c r="A6" s="19" t="s">
        <v>27</v>
      </c>
      <c r="B6" s="19">
        <v>4</v>
      </c>
      <c r="C6" s="23">
        <v>0.85</v>
      </c>
      <c r="D6" s="23">
        <v>3.4</v>
      </c>
      <c r="E6" s="5" t="s">
        <v>28</v>
      </c>
      <c r="F6" s="5" t="s">
        <v>36</v>
      </c>
      <c r="G6" s="5"/>
    </row>
    <row r="7" spans="1:7" ht="159" customHeight="1" x14ac:dyDescent="0.25">
      <c r="A7" s="19" t="s">
        <v>31</v>
      </c>
      <c r="B7" s="19">
        <v>4</v>
      </c>
      <c r="C7" s="23">
        <v>0.13</v>
      </c>
      <c r="D7" s="23">
        <v>0.52</v>
      </c>
      <c r="E7" s="5" t="s">
        <v>32</v>
      </c>
      <c r="F7" s="5" t="s">
        <v>38</v>
      </c>
      <c r="G7" s="5"/>
    </row>
    <row r="8" spans="1:7" ht="270" x14ac:dyDescent="0.25">
      <c r="A8" s="19" t="s">
        <v>34</v>
      </c>
      <c r="B8" s="19" t="s">
        <v>25</v>
      </c>
      <c r="C8" s="23">
        <v>47.86</v>
      </c>
      <c r="D8" s="23">
        <v>47.86</v>
      </c>
      <c r="E8" s="5" t="s">
        <v>26</v>
      </c>
      <c r="F8" s="5" t="s">
        <v>33</v>
      </c>
      <c r="G8" s="5" t="s">
        <v>35</v>
      </c>
    </row>
    <row r="9" spans="1:7" x14ac:dyDescent="0.25">
      <c r="C9" s="24"/>
      <c r="D9" s="25">
        <f>SUM(D2:D8)</f>
        <v>93.63</v>
      </c>
      <c r="E9" s="20"/>
    </row>
  </sheetData>
  <hyperlinks>
    <hyperlink ref="E8" r:id="rId1" xr:uid="{BB44769E-9C2A-4FEF-A4D5-DBD7D743C569}"/>
    <hyperlink ref="E2" r:id="rId2" xr:uid="{B6F53024-3E40-4537-A6CB-957ECEAB506D}"/>
    <hyperlink ref="E4" r:id="rId3" xr:uid="{C7E53F22-BC80-4F02-BB31-9E92055C075F}"/>
    <hyperlink ref="F2" r:id="rId4" display="https://www.homedepot.com/pep/Apollo-2-in-x-2-in-PVC-Slip-Joint-x-Slip-Joint-Union-PVCU2/317901067?source=shoppingads&amp;locale=en-US&amp;pla&amp;utm_source=google&amp;utm_medium=vantage&amp;utm_campaign=52958&amp;utm_content=55246&amp;mtc=SHOPPING-RM-RMP-GGL-D26P-Multi-NA-APOLLO-NA-PMAX-NA-NA-MK897429001-52958-NBR-876-NA-VNT-FY25_Q1_Q4_THEMOSACKGROUPLLC_D26P_RM_ES_AON&amp;cm_mmc=SHOPPING-RM-RMP-GGL-D26P-Multi-NA-APOLLO-NA-PMAX-NA-NA-MK897429001-52958-NBR-876-NA-VNT-FY25_Q1_Q4_THEMOSACKGROUPLLC_D26P_RM_ES_AON-22224745817--&amp;gad_source=1&amp;gad_campaignid=22228588078&amp;gbraid=0AAAAAolLu989NOds_i5DS89vyDbOz8lsX&amp;gclid=Cj0KCQjwmK_CBhCEARIsAMKwcD4wwYuEy7LBT_5YeRGvsomWTxN9uYDhqX3X0H-OD7fiaDyYfmt8F6IaAkX6EALw_wcB&amp;gclsrc=aw.ds" xr:uid="{EAC7F3EE-311A-448F-ADCF-A6A93E974701}"/>
    <hyperlink ref="E3" r:id="rId5" xr:uid="{2632D8A7-1920-48A2-8E3B-00409A6C33EC}"/>
    <hyperlink ref="F4" r:id="rId6" display="https://www.homedepot.com/pep/Charlotte-Pipe-2-in-PVC-Socket-Schedule-40-Pressure-Cap-PVC021161600HD/203811678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ad_source=1&amp;gad_campaignid=22111492781&amp;gbraid=0AAAAADq61UeV86D9Cm_YSFHZ_xQoepPWR&amp;gclid=Cj0KCQjwmK_CBhCEARIsAMKwcD7hsSItt8-j7uHZGoH9ZOHc9dwlTetTnvM1YPIH3krowDG1cA4a5pgaAihuEALw_wcB&amp;gclsrc=aw.ds" xr:uid="{567967C8-8E6D-4379-95E2-13CF4EF3C1C9}"/>
    <hyperlink ref="E6" r:id="rId7" xr:uid="{4AE9199A-CE68-4F53-92E0-06F5CB0D106E}"/>
    <hyperlink ref="E5" r:id="rId8" xr:uid="{03FCB859-3800-41E6-9021-5F1B4C24708F}"/>
    <hyperlink ref="E7" r:id="rId9" display="https://www.digikey.com/en/products/detail/keystone-electronics/4688/4499297?gad_source=1&amp;gad_campaignid=20228387720&amp;gbraid=0AAAAADrbLli1VgbFKUuvpIzwSoUwJlAei&amp;gclid=CjwKCAjwg7PDBhBxEiwAf1CVu7QKEee0JU-K02l5MqVnceC0gdderHe-hLzMdyz4TeR0D3XMq-DznhoC-KUQAvD_BwE&amp;gclsrc=aw.ds" xr:uid="{CDD084B5-EDFE-4046-A768-16EF004917C4}"/>
    <hyperlink ref="G8" r:id="rId10" xr:uid="{C523ED55-EE5F-4281-9F71-7C5211F06C71}"/>
    <hyperlink ref="F6" r:id="rId11" xr:uid="{6C0F9D1D-DEF4-4911-B37D-E1543C801121}"/>
    <hyperlink ref="F5" r:id="rId12" xr:uid="{E01B910B-91B6-416D-8301-76657210DE38}"/>
    <hyperlink ref="F7" r:id="rId13" xr:uid="{82093993-6D6E-408B-B1AF-5A4CD73A2B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 BOM</vt:lpstr>
      <vt:lpstr>Fixture 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asif khan</dc:creator>
  <cp:keywords/>
  <dc:description/>
  <cp:lastModifiedBy>Downey, Austin</cp:lastModifiedBy>
  <cp:revision/>
  <dcterms:created xsi:type="dcterms:W3CDTF">2024-10-25T13:45:10Z</dcterms:created>
  <dcterms:modified xsi:type="dcterms:W3CDTF">2025-11-04T18:44:53Z</dcterms:modified>
  <cp:category/>
  <cp:contentStatus/>
</cp:coreProperties>
</file>